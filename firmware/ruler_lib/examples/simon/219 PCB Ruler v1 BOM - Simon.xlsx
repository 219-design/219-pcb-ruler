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kykypi\Documents\github\pcb-ruler\firmware\ruler_lib\examples\simon\"/>
    </mc:Choice>
  </mc:AlternateContent>
  <xr:revisionPtr revIDLastSave="0" documentId="13_ncr:1_{B6B9CBD9-0007-43C9-ABAC-2E4069CFF0B8}" xr6:coauthVersionLast="47" xr6:coauthVersionMax="47" xr10:uidLastSave="{00000000-0000-0000-0000-000000000000}"/>
  <bookViews>
    <workbookView xWindow="-90" yWindow="-90" windowWidth="19380" windowHeight="11460" xr2:uid="{00000000-000D-0000-FFFF-FFFF00000000}"/>
  </bookViews>
  <sheets>
    <sheet name="BOM" sheetId="3" r:id="rId1"/>
  </sheets>
  <definedNames>
    <definedName name="_xlnm.Print_Area" localSheetId="0">BOM!$A$1:$J$27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3" i="3" l="1"/>
  <c r="A22" i="3"/>
  <c r="A21" i="3"/>
  <c r="A20" i="3"/>
  <c r="A19" i="3"/>
  <c r="A18" i="3"/>
  <c r="A17" i="3"/>
  <c r="A16" i="3"/>
  <c r="A15" i="3"/>
  <c r="A14" i="3"/>
  <c r="A13" i="3"/>
  <c r="A12" i="3"/>
  <c r="A11" i="3"/>
</calcChain>
</file>

<file path=xl/sharedStrings.xml><?xml version="1.0" encoding="utf-8"?>
<sst xmlns="http://schemas.openxmlformats.org/spreadsheetml/2006/main" count="120" uniqueCount="94">
  <si>
    <t>Report Date:</t>
  </si>
  <si>
    <t>Quantity</t>
  </si>
  <si>
    <t>Notes</t>
  </si>
  <si>
    <t>Footprint</t>
  </si>
  <si>
    <t>#</t>
  </si>
  <si>
    <t>Bill of Materials</t>
  </si>
  <si>
    <t>Multilayer Ceramic Capacitor, 1 uF, 50 V, ± 10%, X7R, 0805 [2012 Metric]</t>
  </si>
  <si>
    <t>Engineer:</t>
  </si>
  <si>
    <t>BOM Revision History</t>
  </si>
  <si>
    <t>Version</t>
  </si>
  <si>
    <t>Date</t>
  </si>
  <si>
    <t>Description</t>
  </si>
  <si>
    <t>Initial release</t>
  </si>
  <si>
    <t>Supplier 1</t>
  </si>
  <si>
    <t>Supplier Part Number 1</t>
  </si>
  <si>
    <t>Fitted</t>
  </si>
  <si>
    <t>Manufacturer Part Number 1</t>
  </si>
  <si>
    <t>Manufacturer 1</t>
  </si>
  <si>
    <t>Project Name:</t>
  </si>
  <si>
    <t>17:09</t>
  </si>
  <si>
    <t>219 Design</t>
  </si>
  <si>
    <t>v1</t>
  </si>
  <si>
    <t>Designator</t>
  </si>
  <si>
    <t>C1-C4</t>
  </si>
  <si>
    <t>CENTER, DOWN, LEFT, RIGHT, UP</t>
  </si>
  <si>
    <t>D1</t>
  </si>
  <si>
    <t>D2</t>
  </si>
  <si>
    <t>J1</t>
  </si>
  <si>
    <t>P17</t>
  </si>
  <si>
    <t>U1</t>
  </si>
  <si>
    <t>U2-U6</t>
  </si>
  <si>
    <t>Keypad Switch, 1 Switches, SPST, Momentary-tactile, 0.05A, 12VDC, 2.45N, Solder Terminal, Surface Mount-straight</t>
  </si>
  <si>
    <t>0805 Single Color LED, Super Red, Colorless Diffused, 1.3mm</t>
  </si>
  <si>
    <t>0805 Single Color LED, Yellow, Colorless Diffused, 1.3mm</t>
  </si>
  <si>
    <t>QWIIC JST CONNECTOR - SMD 4-PIN</t>
  </si>
  <si>
    <t>Header for PCB; pitch 2.00mm; 2-contacts; THT; male; side entry; 100V/2A</t>
  </si>
  <si>
    <t>Seeed studio XIAO series dev boards</t>
  </si>
  <si>
    <t>NeoPixel 5050 RGB LED with Integrated Driver Chip - 10 Pack | Adafruit Industries 1655</t>
  </si>
  <si>
    <t>Murata</t>
  </si>
  <si>
    <t>E-Switch</t>
  </si>
  <si>
    <t>Osram Opto</t>
  </si>
  <si>
    <t>Osram</t>
  </si>
  <si>
    <t>SparkFun</t>
  </si>
  <si>
    <t>JST</t>
  </si>
  <si>
    <t>Yageo Group</t>
  </si>
  <si>
    <t>Seeed Studio</t>
  </si>
  <si>
    <t>Adafruit Industries</t>
  </si>
  <si>
    <t>GCM21BR71H105KA03K</t>
  </si>
  <si>
    <t>TL3305AF260QG</t>
  </si>
  <si>
    <t>LS R976-NR-1</t>
  </si>
  <si>
    <t>LY R976-PS-36</t>
  </si>
  <si>
    <t>14417</t>
  </si>
  <si>
    <t>S2B-PH-K-S(LF)(SN)</t>
  </si>
  <si>
    <t>1655</t>
  </si>
  <si>
    <t>DigiKey</t>
  </si>
  <si>
    <t>Mouser</t>
  </si>
  <si>
    <t>Future Electronics</t>
  </si>
  <si>
    <t>490-13310-1-ND</t>
  </si>
  <si>
    <t>EG5353CT-ND</t>
  </si>
  <si>
    <t>720-LSR976-NR-1</t>
  </si>
  <si>
    <t>720-LYR976-PS-36</t>
  </si>
  <si>
    <t>1568-14417-ND</t>
  </si>
  <si>
    <t>7754757</t>
  </si>
  <si>
    <t>1528-1104-ND</t>
  </si>
  <si>
    <t>FP-GRM21B-0_15-IPC_B</t>
  </si>
  <si>
    <t>FP-TL3305AF260QG-MFG</t>
  </si>
  <si>
    <t>FP-LS_R976-MFG</t>
  </si>
  <si>
    <t>SPARKFUN_PRT-14417</t>
  </si>
  <si>
    <t>JST-S2B-PH-K-S_V</t>
  </si>
  <si>
    <t>Seeeduino XIAO-Footprint-Both</t>
  </si>
  <si>
    <t>ADA-RGB-1655_V</t>
  </si>
  <si>
    <t>XIAO nRF52840 Sense</t>
  </si>
  <si>
    <t>1597-102010469-ND</t>
  </si>
  <si>
    <t>ELEGOO</t>
  </si>
  <si>
    <t>EL-SM-008</t>
  </si>
  <si>
    <t>Amazon</t>
  </si>
  <si>
    <t>HDR 06 POS 100mil 2.54mm</t>
  </si>
  <si>
    <t>P8</t>
  </si>
  <si>
    <t>Screen</t>
  </si>
  <si>
    <t>NA</t>
  </si>
  <si>
    <t>Adafruit</t>
  </si>
  <si>
    <t>Speaker</t>
  </si>
  <si>
    <t>1528-3885-ND</t>
  </si>
  <si>
    <t>Jumper wire</t>
  </si>
  <si>
    <t>Sparkfun</t>
  </si>
  <si>
    <t>1568-11367-ND</t>
  </si>
  <si>
    <t>Not Fitted</t>
  </si>
  <si>
    <t>219 PCB Ruler</t>
  </si>
  <si>
    <t>5/4/2026</t>
  </si>
  <si>
    <t>R1, R2</t>
  </si>
  <si>
    <t>SMD Chip Resistor, 330 Ohm, ± 1%, 100 mW, 0603 [1608 Metric], Thick Film, General Purpose</t>
  </si>
  <si>
    <t>RC0603FR-07330RL</t>
  </si>
  <si>
    <t>311-330HRCT-ND</t>
  </si>
  <si>
    <t>RESC1608X55X25NL10T15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</si>
</sst>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C09]dd\-mmm\-yy;@"/>
    <numFmt numFmtId="165" formatCode="[$-409]h:mm:ss\ AM/PM;@"/>
  </numFmts>
  <fonts count="16" x14ac:knownFonts="1">
    <font>
      <sz val="10"/>
      <color theme="1"/>
      <name val="Arial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2"/>
      <color indexed="13"/>
      <name val="Arial"/>
      <family val="2"/>
    </font>
    <font>
      <sz val="8"/>
      <color indexed="10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sz val="9"/>
      <color indexed="10"/>
      <name val="Arial"/>
      <family val="2"/>
    </font>
    <font>
      <b/>
      <sz val="24"/>
      <color indexed="10"/>
      <name val="Arial"/>
      <family val="2"/>
    </font>
    <font>
      <b/>
      <sz val="8"/>
      <color indexed="10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sz val="9"/>
      <color theme="1"/>
      <name val="Arial"/>
      <family val="2"/>
    </font>
    <font>
      <b/>
      <sz val="20"/>
      <color indexed="10"/>
      <name val="Arial"/>
      <family val="2"/>
    </font>
    <font>
      <sz val="8"/>
      <color indexed="10"/>
      <name val="Arial"/>
      <family val="2"/>
    </font>
    <font>
      <sz val="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3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74">
    <xf numFmtId="0" fontId="0" fillId="0" borderId="0" xfId="0"/>
    <xf numFmtId="0" fontId="0" fillId="0" borderId="0" xfId="0" applyAlignment="1">
      <alignment vertical="top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top"/>
    </xf>
    <xf numFmtId="0" fontId="0" fillId="0" borderId="0" xfId="0" applyAlignment="1">
      <alignment horizontal="left" vertical="top"/>
    </xf>
    <xf numFmtId="0" fontId="1" fillId="0" borderId="1" xfId="0" applyFont="1" applyBorder="1" applyAlignment="1" applyProtection="1">
      <alignment horizontal="left" vertical="top"/>
      <protection locked="0"/>
    </xf>
    <xf numFmtId="0" fontId="1" fillId="0" borderId="0" xfId="0" applyFont="1" applyAlignment="1" applyProtection="1">
      <alignment horizontal="left" vertical="top"/>
      <protection locked="0"/>
    </xf>
    <xf numFmtId="0" fontId="1" fillId="0" borderId="1" xfId="0" applyFont="1" applyBorder="1" applyAlignment="1" applyProtection="1">
      <alignment vertical="top"/>
      <protection locked="0"/>
    </xf>
    <xf numFmtId="0" fontId="1" fillId="0" borderId="0" xfId="0" applyFont="1" applyAlignment="1" applyProtection="1">
      <alignment vertical="top"/>
      <protection locked="0"/>
    </xf>
    <xf numFmtId="0" fontId="5" fillId="2" borderId="0" xfId="0" applyFont="1" applyFill="1"/>
    <xf numFmtId="0" fontId="5" fillId="2" borderId="2" xfId="0" applyFont="1" applyFill="1" applyBorder="1" applyAlignment="1">
      <alignment horizontal="left"/>
    </xf>
    <xf numFmtId="0" fontId="6" fillId="2" borderId="3" xfId="0" applyFont="1" applyFill="1" applyBorder="1"/>
    <xf numFmtId="164" fontId="6" fillId="2" borderId="3" xfId="0" applyNumberFormat="1" applyFont="1" applyFill="1" applyBorder="1" applyAlignment="1">
      <alignment horizontal="left"/>
    </xf>
    <xf numFmtId="165" fontId="6" fillId="2" borderId="3" xfId="0" applyNumberFormat="1" applyFont="1" applyFill="1" applyBorder="1" applyAlignment="1">
      <alignment horizontal="left"/>
    </xf>
    <xf numFmtId="0" fontId="8" fillId="2" borderId="4" xfId="0" applyFont="1" applyFill="1" applyBorder="1" applyAlignment="1">
      <alignment vertical="center"/>
    </xf>
    <xf numFmtId="0" fontId="8" fillId="0" borderId="5" xfId="0" applyFont="1" applyBorder="1" applyAlignment="1">
      <alignment vertical="center"/>
    </xf>
    <xf numFmtId="0" fontId="7" fillId="2" borderId="6" xfId="0" applyFont="1" applyFill="1" applyBorder="1"/>
    <xf numFmtId="0" fontId="6" fillId="2" borderId="7" xfId="0" applyFont="1" applyFill="1" applyBorder="1"/>
    <xf numFmtId="0" fontId="5" fillId="2" borderId="3" xfId="0" applyFont="1" applyFill="1" applyBorder="1" applyAlignment="1">
      <alignment horizontal="left"/>
    </xf>
    <xf numFmtId="0" fontId="2" fillId="0" borderId="8" xfId="0" applyFont="1" applyBorder="1" applyAlignment="1" applyProtection="1">
      <alignment vertical="top"/>
      <protection locked="0"/>
    </xf>
    <xf numFmtId="0" fontId="1" fillId="0" borderId="6" xfId="0" applyFont="1" applyBorder="1" applyAlignment="1" applyProtection="1">
      <alignment vertical="top"/>
      <protection locked="0"/>
    </xf>
    <xf numFmtId="0" fontId="1" fillId="0" borderId="9" xfId="0" applyFont="1" applyBorder="1" applyAlignment="1" applyProtection="1">
      <alignment vertical="top"/>
      <protection locked="0"/>
    </xf>
    <xf numFmtId="0" fontId="1" fillId="0" borderId="10" xfId="0" applyFont="1" applyBorder="1" applyAlignment="1" applyProtection="1">
      <alignment vertical="top"/>
      <protection locked="0"/>
    </xf>
    <xf numFmtId="0" fontId="1" fillId="0" borderId="10" xfId="0" applyFont="1" applyBorder="1" applyAlignment="1" applyProtection="1">
      <alignment horizontal="left" vertical="top"/>
      <protection locked="0"/>
    </xf>
    <xf numFmtId="0" fontId="10" fillId="0" borderId="11" xfId="0" applyFont="1" applyBorder="1"/>
    <xf numFmtId="0" fontId="10" fillId="0" borderId="12" xfId="0" applyFont="1" applyBorder="1"/>
    <xf numFmtId="0" fontId="4" fillId="3" borderId="15" xfId="0" applyFont="1" applyFill="1" applyBorder="1" applyAlignment="1">
      <alignment vertical="top" wrapText="1"/>
    </xf>
    <xf numFmtId="0" fontId="4" fillId="3" borderId="16" xfId="0" applyFont="1" applyFill="1" applyBorder="1" applyAlignment="1">
      <alignment vertical="top" wrapText="1"/>
    </xf>
    <xf numFmtId="0" fontId="4" fillId="3" borderId="17" xfId="0" applyFont="1" applyFill="1" applyBorder="1" applyAlignment="1">
      <alignment vertical="top" wrapText="1"/>
    </xf>
    <xf numFmtId="0" fontId="4" fillId="4" borderId="14" xfId="0" applyFont="1" applyFill="1" applyBorder="1" applyAlignment="1">
      <alignment vertical="top" wrapText="1"/>
    </xf>
    <xf numFmtId="0" fontId="4" fillId="4" borderId="18" xfId="0" applyFont="1" applyFill="1" applyBorder="1" applyAlignment="1">
      <alignment vertical="top" wrapText="1"/>
    </xf>
    <xf numFmtId="0" fontId="10" fillId="5" borderId="19" xfId="0" applyFont="1" applyFill="1" applyBorder="1" applyAlignment="1">
      <alignment horizontal="center" vertical="center"/>
    </xf>
    <xf numFmtId="0" fontId="10" fillId="5" borderId="13" xfId="0" applyFont="1" applyFill="1" applyBorder="1" applyAlignment="1">
      <alignment horizontal="left" vertical="center"/>
    </xf>
    <xf numFmtId="0" fontId="10" fillId="5" borderId="20" xfId="0" applyFont="1" applyFill="1" applyBorder="1" applyAlignment="1">
      <alignment horizontal="left" vertical="center"/>
    </xf>
    <xf numFmtId="0" fontId="8" fillId="2" borderId="6" xfId="0" applyFont="1" applyFill="1" applyBorder="1" applyAlignment="1">
      <alignment vertical="center"/>
    </xf>
    <xf numFmtId="0" fontId="8" fillId="0" borderId="5" xfId="0" applyFont="1" applyBorder="1" applyAlignment="1">
      <alignment horizontal="left" vertical="center"/>
    </xf>
    <xf numFmtId="0" fontId="4" fillId="3" borderId="17" xfId="0" applyFont="1" applyFill="1" applyBorder="1" applyAlignment="1">
      <alignment horizontal="left" vertical="top" wrapText="1"/>
    </xf>
    <xf numFmtId="0" fontId="4" fillId="4" borderId="18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7" fillId="2" borderId="0" xfId="0" applyFont="1" applyFill="1" applyAlignment="1">
      <alignment horizontal="left"/>
    </xf>
    <xf numFmtId="0" fontId="0" fillId="0" borderId="21" xfId="0" applyBorder="1" applyAlignment="1">
      <alignment horizontal="left" vertical="top"/>
    </xf>
    <xf numFmtId="0" fontId="3" fillId="0" borderId="22" xfId="0" applyFont="1" applyBorder="1" applyAlignment="1">
      <alignment horizontal="right" vertical="center"/>
    </xf>
    <xf numFmtId="0" fontId="3" fillId="0" borderId="23" xfId="0" applyFont="1" applyBorder="1" applyAlignment="1">
      <alignment horizontal="right" vertical="center"/>
    </xf>
    <xf numFmtId="0" fontId="1" fillId="0" borderId="23" xfId="0" applyFont="1" applyBorder="1" applyAlignment="1" applyProtection="1">
      <alignment horizontal="right" vertical="top"/>
      <protection locked="0"/>
    </xf>
    <xf numFmtId="0" fontId="10" fillId="5" borderId="24" xfId="0" applyFont="1" applyFill="1" applyBorder="1" applyAlignment="1">
      <alignment horizontal="right" vertical="center"/>
    </xf>
    <xf numFmtId="0" fontId="4" fillId="3" borderId="25" xfId="0" applyFont="1" applyFill="1" applyBorder="1" applyAlignment="1">
      <alignment horizontal="right" vertical="top" wrapText="1"/>
    </xf>
    <xf numFmtId="0" fontId="4" fillId="4" borderId="26" xfId="0" applyFont="1" applyFill="1" applyBorder="1" applyAlignment="1">
      <alignment horizontal="right" vertical="top" wrapText="1"/>
    </xf>
    <xf numFmtId="0" fontId="1" fillId="0" borderId="28" xfId="0" applyFont="1" applyBorder="1" applyAlignment="1" applyProtection="1">
      <alignment horizontal="right" vertical="top"/>
      <protection locked="0"/>
    </xf>
    <xf numFmtId="0" fontId="1" fillId="0" borderId="29" xfId="0" applyFont="1" applyBorder="1" applyAlignment="1" applyProtection="1">
      <alignment horizontal="right" vertical="top"/>
      <protection locked="0"/>
    </xf>
    <xf numFmtId="0" fontId="0" fillId="0" borderId="0" xfId="0" applyAlignment="1">
      <alignment horizontal="right" vertical="top"/>
    </xf>
    <xf numFmtId="0" fontId="13" fillId="2" borderId="5" xfId="0" applyFont="1" applyFill="1" applyBorder="1" applyAlignment="1">
      <alignment vertical="center"/>
    </xf>
    <xf numFmtId="0" fontId="5" fillId="2" borderId="3" xfId="0" quotePrefix="1" applyFont="1" applyFill="1" applyBorder="1" applyAlignment="1">
      <alignment horizontal="left"/>
    </xf>
    <xf numFmtId="0" fontId="5" fillId="2" borderId="2" xfId="0" quotePrefix="1" applyFont="1" applyFill="1" applyBorder="1" applyAlignment="1">
      <alignment horizontal="left"/>
    </xf>
    <xf numFmtId="0" fontId="11" fillId="0" borderId="13" xfId="0" quotePrefix="1" applyFont="1" applyBorder="1" applyAlignment="1">
      <alignment horizontal="left"/>
    </xf>
    <xf numFmtId="14" fontId="11" fillId="0" borderId="13" xfId="0" quotePrefix="1" applyNumberFormat="1" applyFont="1" applyBorder="1" applyAlignment="1">
      <alignment horizontal="left"/>
    </xf>
    <xf numFmtId="0" fontId="9" fillId="2" borderId="27" xfId="0" quotePrefix="1" applyFont="1" applyFill="1" applyBorder="1" applyAlignment="1">
      <alignment horizontal="right" vertical="top" wrapText="1"/>
    </xf>
    <xf numFmtId="0" fontId="14" fillId="3" borderId="16" xfId="0" applyFont="1" applyFill="1" applyBorder="1" applyAlignment="1">
      <alignment vertical="top" wrapText="1"/>
    </xf>
    <xf numFmtId="0" fontId="14" fillId="3" borderId="17" xfId="0" applyFont="1" applyFill="1" applyBorder="1" applyAlignment="1">
      <alignment vertical="top" wrapText="1"/>
    </xf>
    <xf numFmtId="0" fontId="4" fillId="4" borderId="18" xfId="1" applyFont="1" applyFill="1" applyBorder="1" applyAlignment="1">
      <alignment vertical="top" wrapText="1"/>
    </xf>
    <xf numFmtId="0" fontId="4" fillId="4" borderId="18" xfId="1" applyFont="1" applyFill="1" applyBorder="1" applyAlignment="1">
      <alignment horizontal="left" vertical="top" wrapText="1"/>
    </xf>
    <xf numFmtId="0" fontId="4" fillId="4" borderId="26" xfId="1" applyFont="1" applyFill="1" applyBorder="1" applyAlignment="1">
      <alignment horizontal="right" vertical="top" wrapText="1"/>
    </xf>
    <xf numFmtId="0" fontId="2" fillId="0" borderId="8" xfId="0" applyFont="1" applyBorder="1" applyAlignment="1" applyProtection="1">
      <alignment horizontal="left" vertical="top"/>
      <protection locked="0"/>
    </xf>
    <xf numFmtId="0" fontId="2" fillId="0" borderId="1" xfId="0" applyFont="1" applyBorder="1" applyAlignment="1" applyProtection="1">
      <alignment horizontal="left" vertical="top"/>
      <protection locked="0"/>
    </xf>
    <xf numFmtId="0" fontId="10" fillId="0" borderId="30" xfId="0" applyFont="1" applyBorder="1"/>
    <xf numFmtId="0" fontId="10" fillId="0" borderId="0" xfId="0" applyFont="1"/>
    <xf numFmtId="0" fontId="10" fillId="0" borderId="31" xfId="0" applyFont="1" applyBorder="1"/>
    <xf numFmtId="0" fontId="11" fillId="0" borderId="13" xfId="0" applyFont="1" applyBorder="1" applyAlignment="1">
      <alignment horizontal="left"/>
    </xf>
    <xf numFmtId="0" fontId="11" fillId="0" borderId="2" xfId="0" applyFont="1" applyBorder="1" applyAlignment="1">
      <alignment horizontal="left"/>
    </xf>
    <xf numFmtId="0" fontId="11" fillId="0" borderId="32" xfId="0" applyFont="1" applyBorder="1" applyAlignment="1">
      <alignment horizontal="left"/>
    </xf>
    <xf numFmtId="0" fontId="12" fillId="6" borderId="13" xfId="0" applyFont="1" applyFill="1" applyBorder="1" applyAlignment="1">
      <alignment horizontal="left" vertical="center"/>
    </xf>
    <xf numFmtId="0" fontId="12" fillId="6" borderId="2" xfId="0" applyFont="1" applyFill="1" applyBorder="1" applyAlignment="1">
      <alignment horizontal="left" vertical="center"/>
    </xf>
    <xf numFmtId="0" fontId="12" fillId="6" borderId="32" xfId="0" applyFont="1" applyFill="1" applyBorder="1" applyAlignment="1">
      <alignment horizontal="left" vertical="center"/>
    </xf>
  </cellXfs>
  <cellStyles count="2">
    <cellStyle name="Normal" xfId="0" builtinId="0"/>
    <cellStyle name="Normal 2" xfId="1" xr:uid="{044A9547-D328-4622-97A2-8A9FB8667769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CE9D8"/>
      <rgbColor rgb="00000000"/>
      <rgbColor rgb="00ECE9D8"/>
      <rgbColor rgb="00000000"/>
      <rgbColor rgb="00FFFFFF"/>
      <rgbColor rgb="00000000"/>
      <rgbColor rgb="00FFFFFF"/>
      <rgbColor rgb="00000000"/>
      <rgbColor rgb="00ECE9D8"/>
      <rgbColor rgb="00000000"/>
      <rgbColor rgb="00F1EFE2"/>
      <rgbColor rgb="0000000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378237</xdr:colOff>
      <xdr:row>0</xdr:row>
      <xdr:rowOff>71214</xdr:rowOff>
    </xdr:from>
    <xdr:to>
      <xdr:col>8</xdr:col>
      <xdr:colOff>1248621</xdr:colOff>
      <xdr:row>1</xdr:row>
      <xdr:rowOff>162024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AB96457E-825E-D2A7-CC74-25F319FF90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14315" y="71674"/>
          <a:ext cx="871535" cy="3760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31"/>
  <sheetViews>
    <sheetView showGridLines="0" tabSelected="1" zoomScaleNormal="100" workbookViewId="0">
      <selection activeCell="C14" sqref="C14"/>
    </sheetView>
  </sheetViews>
  <sheetFormatPr defaultColWidth="9.1328125" defaultRowHeight="13" x14ac:dyDescent="0.6"/>
  <cols>
    <col min="1" max="1" width="3.26953125" style="1" customWidth="1"/>
    <col min="2" max="2" width="37.26953125" style="4" customWidth="1"/>
    <col min="3" max="3" width="46.40625" style="4" customWidth="1"/>
    <col min="4" max="4" width="24" style="4" customWidth="1"/>
    <col min="5" max="5" width="25.54296875" style="4" customWidth="1"/>
    <col min="6" max="6" width="18.1328125" style="4" customWidth="1"/>
    <col min="7" max="7" width="24.1328125" style="4" customWidth="1"/>
    <col min="8" max="8" width="10.7265625" style="4" customWidth="1"/>
    <col min="9" max="9" width="22.40625" style="4" customWidth="1"/>
    <col min="10" max="10" width="8.40625" style="51" customWidth="1"/>
    <col min="11" max="11" width="16" style="1" customWidth="1"/>
    <col min="12" max="12" width="15.54296875" style="1" customWidth="1"/>
    <col min="13" max="13" width="7.7265625" style="1" customWidth="1"/>
    <col min="14" max="14" width="9.1328125" style="1" customWidth="1"/>
    <col min="15" max="16384" width="9.1328125" style="1"/>
  </cols>
  <sheetData>
    <row r="1" spans="1:10" ht="22.4" customHeight="1" x14ac:dyDescent="0.6">
      <c r="A1" s="14"/>
      <c r="B1" s="52" t="s">
        <v>5</v>
      </c>
      <c r="C1" s="15"/>
      <c r="D1" s="35"/>
      <c r="E1" s="39"/>
      <c r="F1" s="39"/>
      <c r="G1" s="39"/>
      <c r="H1" s="39"/>
      <c r="I1" s="39"/>
      <c r="J1" s="43"/>
    </row>
    <row r="2" spans="1:10" ht="18" customHeight="1" x14ac:dyDescent="0.6">
      <c r="A2" s="34"/>
      <c r="B2" s="9" t="s">
        <v>18</v>
      </c>
      <c r="C2" s="53" t="s">
        <v>87</v>
      </c>
      <c r="D2" s="18"/>
      <c r="E2" s="40"/>
      <c r="F2" s="40"/>
      <c r="G2" s="40"/>
      <c r="H2" s="40"/>
      <c r="I2" s="40"/>
      <c r="J2" s="44"/>
    </row>
    <row r="3" spans="1:10" ht="15.75" customHeight="1" x14ac:dyDescent="0.6">
      <c r="A3" s="16"/>
      <c r="B3" s="9" t="s">
        <v>0</v>
      </c>
      <c r="C3" s="54" t="s">
        <v>88</v>
      </c>
      <c r="D3" s="54" t="s">
        <v>19</v>
      </c>
      <c r="I3" s="41"/>
      <c r="J3" s="45"/>
    </row>
    <row r="4" spans="1:10" ht="15.75" customHeight="1" x14ac:dyDescent="0.6">
      <c r="A4" s="16"/>
      <c r="B4" s="9" t="s">
        <v>7</v>
      </c>
      <c r="C4" s="54" t="s">
        <v>20</v>
      </c>
      <c r="D4" s="10"/>
      <c r="I4" s="41"/>
      <c r="J4" s="45"/>
    </row>
    <row r="5" spans="1:10" ht="15.75" customHeight="1" x14ac:dyDescent="0.6">
      <c r="A5" s="16"/>
      <c r="B5" s="9"/>
      <c r="C5" s="1"/>
      <c r="I5" s="41"/>
      <c r="J5" s="45"/>
    </row>
    <row r="6" spans="1:10" ht="15.75" customHeight="1" x14ac:dyDescent="0.55000000000000004">
      <c r="A6" s="16"/>
      <c r="B6" s="71" t="s">
        <v>8</v>
      </c>
      <c r="C6" s="72"/>
      <c r="D6" s="72"/>
      <c r="E6" s="72"/>
      <c r="F6" s="72"/>
      <c r="G6" s="73"/>
      <c r="I6" s="41"/>
      <c r="J6" s="45"/>
    </row>
    <row r="7" spans="1:10" ht="15.75" customHeight="1" x14ac:dyDescent="0.55000000000000004">
      <c r="A7" s="16"/>
      <c r="B7" s="24" t="s">
        <v>9</v>
      </c>
      <c r="C7" s="25" t="s">
        <v>10</v>
      </c>
      <c r="D7" s="65" t="s">
        <v>11</v>
      </c>
      <c r="E7" s="66"/>
      <c r="F7" s="66"/>
      <c r="G7" s="67"/>
      <c r="I7" s="41"/>
      <c r="J7" s="45"/>
    </row>
    <row r="8" spans="1:10" ht="15.75" customHeight="1" x14ac:dyDescent="0.55000000000000004">
      <c r="A8" s="16"/>
      <c r="B8" s="55" t="s">
        <v>21</v>
      </c>
      <c r="C8" s="56" t="s">
        <v>88</v>
      </c>
      <c r="D8" s="68" t="s">
        <v>12</v>
      </c>
      <c r="E8" s="69"/>
      <c r="F8" s="69"/>
      <c r="G8" s="70"/>
      <c r="I8" s="41"/>
      <c r="J8" s="45"/>
    </row>
    <row r="9" spans="1:10" ht="15.75" customHeight="1" x14ac:dyDescent="0.6">
      <c r="A9" s="17"/>
      <c r="B9" s="11"/>
      <c r="C9" s="12"/>
      <c r="D9" s="13"/>
      <c r="E9" s="41"/>
      <c r="F9" s="41"/>
      <c r="G9" s="41"/>
      <c r="H9" s="41"/>
      <c r="J9" s="45"/>
    </row>
    <row r="10" spans="1:10" s="2" customFormat="1" x14ac:dyDescent="0.6">
      <c r="A10" s="31" t="s">
        <v>4</v>
      </c>
      <c r="B10" s="32" t="s">
        <v>22</v>
      </c>
      <c r="C10" s="32" t="s">
        <v>11</v>
      </c>
      <c r="D10" s="32" t="s">
        <v>17</v>
      </c>
      <c r="E10" s="32" t="s">
        <v>16</v>
      </c>
      <c r="F10" s="32" t="s">
        <v>13</v>
      </c>
      <c r="G10" s="33" t="s">
        <v>14</v>
      </c>
      <c r="H10" s="33" t="s">
        <v>15</v>
      </c>
      <c r="I10" s="32" t="s">
        <v>3</v>
      </c>
      <c r="J10" s="46" t="s">
        <v>1</v>
      </c>
    </row>
    <row r="11" spans="1:10" s="3" customFormat="1" ht="24" customHeight="1" x14ac:dyDescent="0.6">
      <c r="A11" s="26">
        <f t="shared" ref="A11:A22" si="0">ROW(A11) - ROW($A$10)</f>
        <v>1</v>
      </c>
      <c r="B11" s="27" t="s">
        <v>23</v>
      </c>
      <c r="C11" s="28" t="s">
        <v>6</v>
      </c>
      <c r="D11" s="36" t="s">
        <v>38</v>
      </c>
      <c r="E11" s="36" t="s">
        <v>47</v>
      </c>
      <c r="F11" s="36" t="s">
        <v>54</v>
      </c>
      <c r="G11" s="36" t="s">
        <v>57</v>
      </c>
      <c r="H11" s="36" t="s">
        <v>15</v>
      </c>
      <c r="I11" s="36" t="s">
        <v>64</v>
      </c>
      <c r="J11" s="47">
        <v>4</v>
      </c>
    </row>
    <row r="12" spans="1:10" s="3" customFormat="1" ht="24" customHeight="1" x14ac:dyDescent="0.6">
      <c r="A12" s="29">
        <f t="shared" si="0"/>
        <v>2</v>
      </c>
      <c r="B12" s="60" t="s">
        <v>24</v>
      </c>
      <c r="C12" s="60" t="s">
        <v>31</v>
      </c>
      <c r="D12" s="61" t="s">
        <v>39</v>
      </c>
      <c r="E12" s="61" t="s">
        <v>48</v>
      </c>
      <c r="F12" s="61" t="s">
        <v>54</v>
      </c>
      <c r="G12" s="61" t="s">
        <v>58</v>
      </c>
      <c r="H12" s="61" t="s">
        <v>15</v>
      </c>
      <c r="I12" s="61" t="s">
        <v>65</v>
      </c>
      <c r="J12" s="62">
        <v>5</v>
      </c>
    </row>
    <row r="13" spans="1:10" s="3" customFormat="1" ht="24" customHeight="1" x14ac:dyDescent="0.6">
      <c r="A13" s="26">
        <f t="shared" si="0"/>
        <v>3</v>
      </c>
      <c r="B13" s="27" t="s">
        <v>25</v>
      </c>
      <c r="C13" s="28" t="s">
        <v>32</v>
      </c>
      <c r="D13" s="36" t="s">
        <v>40</v>
      </c>
      <c r="E13" s="36" t="s">
        <v>49</v>
      </c>
      <c r="F13" s="36" t="s">
        <v>55</v>
      </c>
      <c r="G13" s="36" t="s">
        <v>59</v>
      </c>
      <c r="H13" s="36" t="s">
        <v>15</v>
      </c>
      <c r="I13" s="36" t="s">
        <v>66</v>
      </c>
      <c r="J13" s="47">
        <v>1</v>
      </c>
    </row>
    <row r="14" spans="1:10" s="3" customFormat="1" ht="24" customHeight="1" x14ac:dyDescent="0.6">
      <c r="A14" s="29">
        <f t="shared" si="0"/>
        <v>4</v>
      </c>
      <c r="B14" s="30" t="s">
        <v>26</v>
      </c>
      <c r="C14" s="30" t="s">
        <v>33</v>
      </c>
      <c r="D14" s="37" t="s">
        <v>41</v>
      </c>
      <c r="E14" s="37" t="s">
        <v>50</v>
      </c>
      <c r="F14" s="37" t="s">
        <v>55</v>
      </c>
      <c r="G14" s="37" t="s">
        <v>60</v>
      </c>
      <c r="H14" s="37" t="s">
        <v>15</v>
      </c>
      <c r="I14" s="37" t="s">
        <v>66</v>
      </c>
      <c r="J14" s="48">
        <v>1</v>
      </c>
    </row>
    <row r="15" spans="1:10" s="3" customFormat="1" ht="24" customHeight="1" x14ac:dyDescent="0.6">
      <c r="A15" s="26">
        <f t="shared" si="0"/>
        <v>5</v>
      </c>
      <c r="B15" s="27" t="s">
        <v>27</v>
      </c>
      <c r="C15" s="28" t="s">
        <v>34</v>
      </c>
      <c r="D15" s="36" t="s">
        <v>42</v>
      </c>
      <c r="E15" s="36" t="s">
        <v>51</v>
      </c>
      <c r="F15" s="36" t="s">
        <v>54</v>
      </c>
      <c r="G15" s="36" t="s">
        <v>61</v>
      </c>
      <c r="H15" s="36" t="s">
        <v>86</v>
      </c>
      <c r="I15" s="36" t="s">
        <v>67</v>
      </c>
      <c r="J15" s="47">
        <v>0</v>
      </c>
    </row>
    <row r="16" spans="1:10" s="3" customFormat="1" ht="24" customHeight="1" x14ac:dyDescent="0.6">
      <c r="A16" s="29">
        <f t="shared" si="0"/>
        <v>6</v>
      </c>
      <c r="B16" s="30" t="s">
        <v>28</v>
      </c>
      <c r="C16" s="30" t="s">
        <v>35</v>
      </c>
      <c r="D16" s="37" t="s">
        <v>43</v>
      </c>
      <c r="E16" s="37" t="s">
        <v>52</v>
      </c>
      <c r="F16" s="37" t="s">
        <v>56</v>
      </c>
      <c r="G16" s="37" t="s">
        <v>62</v>
      </c>
      <c r="H16" s="37" t="s">
        <v>86</v>
      </c>
      <c r="I16" s="37" t="s">
        <v>68</v>
      </c>
      <c r="J16" s="48">
        <v>0</v>
      </c>
    </row>
    <row r="17" spans="1:10" s="3" customFormat="1" ht="24" customHeight="1" x14ac:dyDescent="0.6">
      <c r="A17" s="26">
        <f t="shared" si="0"/>
        <v>7</v>
      </c>
      <c r="B17" s="27" t="s">
        <v>89</v>
      </c>
      <c r="C17" s="28" t="s">
        <v>90</v>
      </c>
      <c r="D17" s="36" t="s">
        <v>44</v>
      </c>
      <c r="E17" s="36" t="s">
        <v>91</v>
      </c>
      <c r="F17" s="36" t="s">
        <v>54</v>
      </c>
      <c r="G17" s="36" t="s">
        <v>92</v>
      </c>
      <c r="H17" s="36" t="s">
        <v>15</v>
      </c>
      <c r="I17" s="36" t="s">
        <v>93</v>
      </c>
      <c r="J17" s="47">
        <v>2</v>
      </c>
    </row>
    <row r="18" spans="1:10" s="3" customFormat="1" ht="24" customHeight="1" x14ac:dyDescent="0.6">
      <c r="A18" s="26">
        <f t="shared" si="0"/>
        <v>8</v>
      </c>
      <c r="B18" s="27" t="s">
        <v>29</v>
      </c>
      <c r="C18" s="28" t="s">
        <v>36</v>
      </c>
      <c r="D18" s="36" t="s">
        <v>45</v>
      </c>
      <c r="E18" s="36" t="s">
        <v>71</v>
      </c>
      <c r="F18" s="36" t="s">
        <v>54</v>
      </c>
      <c r="G18" s="36" t="s">
        <v>72</v>
      </c>
      <c r="H18" s="36" t="s">
        <v>15</v>
      </c>
      <c r="I18" s="36" t="s">
        <v>69</v>
      </c>
      <c r="J18" s="47">
        <v>1</v>
      </c>
    </row>
    <row r="19" spans="1:10" s="3" customFormat="1" ht="24" customHeight="1" x14ac:dyDescent="0.6">
      <c r="A19" s="29">
        <f>ROW(A19) - ROW($A$10)</f>
        <v>9</v>
      </c>
      <c r="B19" s="30" t="s">
        <v>30</v>
      </c>
      <c r="C19" s="30" t="s">
        <v>37</v>
      </c>
      <c r="D19" s="37" t="s">
        <v>46</v>
      </c>
      <c r="E19" s="37" t="s">
        <v>53</v>
      </c>
      <c r="F19" s="37" t="s">
        <v>54</v>
      </c>
      <c r="G19" s="37" t="s">
        <v>63</v>
      </c>
      <c r="H19" s="37" t="s">
        <v>15</v>
      </c>
      <c r="I19" s="37" t="s">
        <v>70</v>
      </c>
      <c r="J19" s="48">
        <v>5</v>
      </c>
    </row>
    <row r="20" spans="1:10" s="3" customFormat="1" ht="24" customHeight="1" x14ac:dyDescent="0.6">
      <c r="A20" s="26">
        <f t="shared" si="0"/>
        <v>10</v>
      </c>
      <c r="B20" s="58" t="s">
        <v>77</v>
      </c>
      <c r="C20" s="59" t="s">
        <v>78</v>
      </c>
      <c r="D20" s="36" t="s">
        <v>73</v>
      </c>
      <c r="E20" s="36" t="s">
        <v>74</v>
      </c>
      <c r="F20" s="36" t="s">
        <v>75</v>
      </c>
      <c r="G20" s="36" t="s">
        <v>74</v>
      </c>
      <c r="H20" s="36" t="s">
        <v>15</v>
      </c>
      <c r="I20" s="36" t="s">
        <v>76</v>
      </c>
      <c r="J20" s="47">
        <v>1</v>
      </c>
    </row>
    <row r="21" spans="1:10" s="3" customFormat="1" ht="24" customHeight="1" x14ac:dyDescent="0.6">
      <c r="A21" s="29">
        <f>ROW(A21) - ROW($A$10)</f>
        <v>11</v>
      </c>
      <c r="B21" s="30" t="s">
        <v>79</v>
      </c>
      <c r="C21" s="30" t="s">
        <v>81</v>
      </c>
      <c r="D21" s="37" t="s">
        <v>80</v>
      </c>
      <c r="E21" s="37">
        <v>3885</v>
      </c>
      <c r="F21" s="37" t="s">
        <v>54</v>
      </c>
      <c r="G21" s="37" t="s">
        <v>82</v>
      </c>
      <c r="H21" s="37" t="s">
        <v>15</v>
      </c>
      <c r="I21" s="37" t="s">
        <v>79</v>
      </c>
      <c r="J21" s="48">
        <v>1</v>
      </c>
    </row>
    <row r="22" spans="1:10" s="3" customFormat="1" ht="24" customHeight="1" x14ac:dyDescent="0.6">
      <c r="A22" s="26">
        <f t="shared" si="0"/>
        <v>12</v>
      </c>
      <c r="B22" s="27" t="s">
        <v>79</v>
      </c>
      <c r="C22" s="27" t="s">
        <v>83</v>
      </c>
      <c r="D22" s="36" t="s">
        <v>84</v>
      </c>
      <c r="E22" s="36">
        <v>11367</v>
      </c>
      <c r="F22" s="36" t="s">
        <v>54</v>
      </c>
      <c r="G22" s="36" t="s">
        <v>85</v>
      </c>
      <c r="H22" s="36" t="s">
        <v>15</v>
      </c>
      <c r="I22" s="36" t="s">
        <v>79</v>
      </c>
      <c r="J22" s="47">
        <v>1</v>
      </c>
    </row>
    <row r="23" spans="1:10" x14ac:dyDescent="0.6">
      <c r="A23" s="63"/>
      <c r="B23" s="64"/>
      <c r="C23" s="5"/>
      <c r="D23" s="38"/>
      <c r="E23" s="38"/>
      <c r="F23" s="38"/>
      <c r="G23" s="38"/>
      <c r="H23" s="38"/>
      <c r="I23" s="42"/>
      <c r="J23" s="57">
        <f>SUM(J11:J22)</f>
        <v>22</v>
      </c>
    </row>
    <row r="24" spans="1:10" x14ac:dyDescent="0.6">
      <c r="A24" s="19" t="s">
        <v>2</v>
      </c>
      <c r="B24" s="7"/>
      <c r="C24" s="5"/>
      <c r="D24" s="5"/>
      <c r="E24" s="5"/>
      <c r="F24" s="5"/>
      <c r="G24" s="5"/>
      <c r="H24" s="5"/>
      <c r="I24" s="5"/>
      <c r="J24" s="49"/>
    </row>
    <row r="25" spans="1:10" x14ac:dyDescent="0.6">
      <c r="A25" s="20"/>
      <c r="B25" s="8"/>
      <c r="C25" s="6"/>
      <c r="D25" s="6"/>
      <c r="E25" s="6"/>
      <c r="F25" s="6"/>
      <c r="G25" s="6"/>
      <c r="H25" s="6"/>
      <c r="I25" s="6"/>
      <c r="J25" s="45"/>
    </row>
    <row r="26" spans="1:10" x14ac:dyDescent="0.6">
      <c r="A26" s="20"/>
      <c r="B26" s="8"/>
      <c r="C26" s="6"/>
      <c r="D26" s="6"/>
      <c r="E26" s="6"/>
      <c r="F26" s="6"/>
      <c r="G26" s="6"/>
      <c r="H26" s="6"/>
      <c r="I26" s="6"/>
      <c r="J26" s="45"/>
    </row>
    <row r="27" spans="1:10" ht="13.75" thickBot="1" x14ac:dyDescent="0.75">
      <c r="A27" s="21"/>
      <c r="B27" s="22"/>
      <c r="C27" s="23"/>
      <c r="D27" s="23"/>
      <c r="E27" s="23"/>
      <c r="F27" s="23"/>
      <c r="G27" s="23"/>
      <c r="H27" s="23"/>
      <c r="I27" s="23"/>
      <c r="J27" s="50"/>
    </row>
    <row r="29" spans="1:10" x14ac:dyDescent="0.6">
      <c r="B29" s="1"/>
      <c r="C29" s="1"/>
    </row>
    <row r="30" spans="1:10" x14ac:dyDescent="0.6">
      <c r="B30" s="1"/>
      <c r="C30" s="1"/>
    </row>
    <row r="31" spans="1:10" x14ac:dyDescent="0.6">
      <c r="B31" s="1"/>
      <c r="C31" s="1"/>
    </row>
  </sheetData>
  <mergeCells count="4">
    <mergeCell ref="A23:B23"/>
    <mergeCell ref="D7:G7"/>
    <mergeCell ref="D8:G8"/>
    <mergeCell ref="B6:G6"/>
  </mergeCells>
  <phoneticPr fontId="15" type="noConversion"/>
  <pageMargins left="0.4" right="0.4" top="0.5" bottom="0.6" header="0.5" footer="0.35"/>
  <pageSetup scale="54" fitToHeight="0" orientation="landscape" horizontalDpi="200" verticalDpi="200" r:id="rId1"/>
  <headerFooter alignWithMargins="0">
    <oddFooter>&amp;L&amp;G&amp;CConfidential Information&amp;RPage &amp;P of &amp;N</odd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BOM</vt:lpstr>
      <vt:lpstr>BOM!Print_Area</vt:lpstr>
    </vt:vector>
  </TitlesOfParts>
  <Company>Altium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Kylee Burgess</cp:lastModifiedBy>
  <cp:lastPrinted>2012-02-13T18:50:23Z</cp:lastPrinted>
  <dcterms:created xsi:type="dcterms:W3CDTF">2002-11-05T15:28:02Z</dcterms:created>
  <dcterms:modified xsi:type="dcterms:W3CDTF">2026-05-04T23:42:31Z</dcterms:modified>
</cp:coreProperties>
</file>